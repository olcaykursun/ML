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kursun/Desktop/"/>
    </mc:Choice>
  </mc:AlternateContent>
  <xr:revisionPtr revIDLastSave="0" documentId="13_ncr:1_{27BC0E96-C244-374E-B68E-11B33F786827}" xr6:coauthVersionLast="47" xr6:coauthVersionMax="47" xr10:uidLastSave="{00000000-0000-0000-0000-000000000000}"/>
  <bookViews>
    <workbookView xWindow="1100" yWindow="760" windowWidth="28040" windowHeight="17200" xr2:uid="{DBB71041-7A0A-1649-921F-C99747F45C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2" i="1"/>
  <c r="D3" i="1"/>
  <c r="E3" i="1" s="1"/>
  <c r="F3" i="1" s="1"/>
  <c r="D4" i="1"/>
  <c r="E4" i="1" s="1"/>
  <c r="F4" i="1" s="1"/>
  <c r="D5" i="1"/>
  <c r="E5" i="1" s="1"/>
  <c r="F5" i="1" s="1"/>
  <c r="D6" i="1"/>
  <c r="E6" i="1" s="1"/>
  <c r="D7" i="1"/>
  <c r="E7" i="1" s="1"/>
  <c r="D2" i="1"/>
  <c r="E2" i="1" s="1"/>
  <c r="H2" i="1" l="1"/>
  <c r="I2" i="1" s="1"/>
  <c r="H7" i="1"/>
  <c r="H6" i="1"/>
  <c r="H5" i="1"/>
  <c r="H4" i="1"/>
  <c r="H3" i="1"/>
  <c r="I4" i="1" l="1"/>
  <c r="L4" i="1" s="1"/>
  <c r="J4" i="1"/>
  <c r="M4" i="1" s="1"/>
  <c r="K4" i="1"/>
  <c r="N4" i="1" s="1"/>
  <c r="K7" i="1"/>
  <c r="N7" i="1" s="1"/>
  <c r="I7" i="1"/>
  <c r="L7" i="1" s="1"/>
  <c r="J7" i="1"/>
  <c r="M7" i="1" s="1"/>
  <c r="F8" i="1"/>
  <c r="I5" i="1"/>
  <c r="L5" i="1" s="1"/>
  <c r="J5" i="1"/>
  <c r="M5" i="1" s="1"/>
  <c r="K5" i="1"/>
  <c r="N5" i="1" s="1"/>
  <c r="K6" i="1"/>
  <c r="N6" i="1" s="1"/>
  <c r="I6" i="1"/>
  <c r="L6" i="1" s="1"/>
  <c r="J6" i="1"/>
  <c r="M6" i="1" s="1"/>
  <c r="J3" i="1"/>
  <c r="M3" i="1" s="1"/>
  <c r="I3" i="1"/>
  <c r="L3" i="1" s="1"/>
  <c r="K3" i="1"/>
  <c r="N3" i="1" s="1"/>
  <c r="L2" i="1"/>
  <c r="K2" i="1"/>
  <c r="N2" i="1" s="1"/>
  <c r="J2" i="1"/>
  <c r="M2" i="1" s="1"/>
  <c r="M8" i="1" l="1"/>
  <c r="N8" i="1"/>
  <c r="L8" i="1"/>
  <c r="D22" i="1" l="1"/>
  <c r="E22" i="1" s="1"/>
  <c r="D20" i="1"/>
  <c r="E20" i="1" s="1"/>
  <c r="F20" i="1" s="1"/>
  <c r="D17" i="1"/>
  <c r="E17" i="1" s="1"/>
  <c r="F17" i="1" s="1"/>
  <c r="D19" i="1"/>
  <c r="E19" i="1" s="1"/>
  <c r="F19" i="1" s="1"/>
  <c r="D18" i="1"/>
  <c r="E18" i="1" s="1"/>
  <c r="F18" i="1" s="1"/>
  <c r="D21" i="1"/>
  <c r="E21" i="1" s="1"/>
  <c r="F21" i="1" s="1"/>
  <c r="D16" i="1"/>
  <c r="E16" i="1" s="1"/>
  <c r="F16" i="1" s="1"/>
  <c r="F22" i="1" l="1"/>
</calcChain>
</file>

<file path=xl/sharedStrings.xml><?xml version="1.0" encoding="utf-8"?>
<sst xmlns="http://schemas.openxmlformats.org/spreadsheetml/2006/main" count="28" uniqueCount="22">
  <si>
    <t>x1</t>
  </si>
  <si>
    <t>x2</t>
  </si>
  <si>
    <t>r</t>
  </si>
  <si>
    <t>y = sigmoid(a)</t>
  </si>
  <si>
    <t>a = w1x1+w2x2+w0</t>
  </si>
  <si>
    <t>delta = r-y</t>
  </si>
  <si>
    <t>dw1</t>
  </si>
  <si>
    <t>dw2</t>
  </si>
  <si>
    <t>dw0</t>
  </si>
  <si>
    <t>eta</t>
  </si>
  <si>
    <t>w1</t>
  </si>
  <si>
    <t>w2</t>
  </si>
  <si>
    <t>w0</t>
  </si>
  <si>
    <t>lets average</t>
  </si>
  <si>
    <t>loss</t>
  </si>
  <si>
    <t>Learning rate:</t>
  </si>
  <si>
    <t>Let's redo the computations using the updated weights</t>
  </si>
  <si>
    <t>Use initial weights</t>
  </si>
  <si>
    <t>0.8, 0.6 and -0.72</t>
  </si>
  <si>
    <t>The left side shows the forward pass (prediction) and the right side shows the backward pass (weight updates)</t>
  </si>
  <si>
    <t>***loss reduced</t>
  </si>
  <si>
    <t>We just performed the forward pass this time but repeating the backward pass could reduce the loss further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</si>
</sst>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 applyAlignment="1">
      <alignment horizontal="center"/>
    </xf>
    <xf numFmtId="0" fontId="1" fillId="0" borderId="0" xfId="0" applyFont="1" applyFill="1"/>
    <xf numFmtId="49" fontId="1" fillId="5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37DBF-67A2-D746-AD46-28EB491CBF4F}">
  <dimension ref="A1:N23"/>
  <sheetViews>
    <sheetView tabSelected="1" zoomScale="160" zoomScaleNormal="160" workbookViewId="0"/>
  </sheetViews>
  <sheetFormatPr baseColWidth="10" defaultRowHeight="16" x14ac:dyDescent="0.2"/>
  <cols>
    <col min="4" max="4" width="17.5" bestFit="1" customWidth="1"/>
    <col min="5" max="5" width="12.83203125" bestFit="1" customWidth="1"/>
    <col min="6" max="6" width="12.83203125" customWidth="1"/>
    <col min="7" max="7" width="13.83203125" customWidth="1"/>
  </cols>
  <sheetData>
    <row r="1" spans="1:14" s="3" customFormat="1" ht="16" customHeight="1" x14ac:dyDescent="0.2">
      <c r="A1" s="7" t="s">
        <v>0</v>
      </c>
      <c r="B1" s="7" t="s">
        <v>1</v>
      </c>
      <c r="C1" s="7" t="s">
        <v>2</v>
      </c>
      <c r="D1" s="7" t="s">
        <v>4</v>
      </c>
      <c r="E1" s="7" t="s">
        <v>3</v>
      </c>
      <c r="F1" s="7" t="s">
        <v>14</v>
      </c>
      <c r="G1" s="9" t="s">
        <v>19</v>
      </c>
      <c r="H1" s="7" t="s">
        <v>5</v>
      </c>
      <c r="I1" s="7" t="s">
        <v>6</v>
      </c>
      <c r="J1" s="7" t="s">
        <v>7</v>
      </c>
      <c r="K1" s="7" t="s">
        <v>8</v>
      </c>
      <c r="L1" s="7" t="s">
        <v>10</v>
      </c>
      <c r="M1" s="7" t="s">
        <v>11</v>
      </c>
      <c r="N1" s="7" t="s">
        <v>12</v>
      </c>
    </row>
    <row r="2" spans="1:14" x14ac:dyDescent="0.2">
      <c r="A2" s="2">
        <v>0</v>
      </c>
      <c r="B2" s="1">
        <v>0</v>
      </c>
      <c r="C2" s="1">
        <v>0</v>
      </c>
      <c r="D2" s="1">
        <f>A2*0.8+B2*0.6-0.72</f>
        <v>-0.72</v>
      </c>
      <c r="E2" s="1">
        <f>1/(1+EXP(-D2))</f>
        <v>0.32739298293223956</v>
      </c>
      <c r="F2">
        <f>IF(C2,-LN(E2),-LN(1-E2))</f>
        <v>0.39659404698022432</v>
      </c>
      <c r="G2" s="9"/>
      <c r="H2" s="1">
        <f>C2-E2</f>
        <v>-0.32739298293223956</v>
      </c>
      <c r="I2" s="1">
        <f>$H$12*H2*A2</f>
        <v>0</v>
      </c>
      <c r="J2" s="1">
        <f>$H$12*H2*B2</f>
        <v>0</v>
      </c>
      <c r="K2" s="1">
        <f>$H$12*H2</f>
        <v>-0.32739298293223956</v>
      </c>
      <c r="L2">
        <f>0.8+I2</f>
        <v>0.8</v>
      </c>
      <c r="M2">
        <f>0.6+J2</f>
        <v>0.6</v>
      </c>
      <c r="N2">
        <f>-0.72+K2</f>
        <v>-1.0473929829322395</v>
      </c>
    </row>
    <row r="3" spans="1:14" x14ac:dyDescent="0.2">
      <c r="A3" s="2">
        <v>0</v>
      </c>
      <c r="B3" s="1">
        <v>1</v>
      </c>
      <c r="C3" s="1">
        <v>0</v>
      </c>
      <c r="D3" s="1">
        <f t="shared" ref="D3:D7" si="0">A3*0.8+B3*0.6-0.72</f>
        <v>-0.12</v>
      </c>
      <c r="E3" s="1">
        <f t="shared" ref="E3:E7" si="1">1/(1+EXP(-D3))</f>
        <v>0.47003594823542821</v>
      </c>
      <c r="F3">
        <f>IF(C3,-LN(E3),-LN(1-E3))</f>
        <v>0.63494610159561338</v>
      </c>
      <c r="G3" s="9"/>
      <c r="H3" s="1">
        <f>C3-E3</f>
        <v>-0.47003594823542821</v>
      </c>
      <c r="I3" s="1">
        <f>$H$12*H3*A3</f>
        <v>0</v>
      </c>
      <c r="J3" s="1">
        <f>$H$12*H3*B3</f>
        <v>-0.47003594823542821</v>
      </c>
      <c r="K3" s="1">
        <f>$H$12*H3</f>
        <v>-0.47003594823542821</v>
      </c>
      <c r="L3">
        <f t="shared" ref="L3:L7" si="2">0.8+I3</f>
        <v>0.8</v>
      </c>
      <c r="M3">
        <f t="shared" ref="M3:M7" si="3">0.6+J3</f>
        <v>0.12996405176457176</v>
      </c>
      <c r="N3">
        <f t="shared" ref="N3:N7" si="4">-0.72+K3</f>
        <v>-1.1900359482354281</v>
      </c>
    </row>
    <row r="4" spans="1:14" x14ac:dyDescent="0.2">
      <c r="A4" s="2">
        <v>1</v>
      </c>
      <c r="B4" s="1">
        <v>-0.2</v>
      </c>
      <c r="C4" s="1">
        <v>0</v>
      </c>
      <c r="D4" s="1">
        <f t="shared" si="0"/>
        <v>-3.9999999999999925E-2</v>
      </c>
      <c r="E4" s="1">
        <f t="shared" si="1"/>
        <v>0.49000133312003458</v>
      </c>
      <c r="F4">
        <f>IF(C4,-LN(E4),-LN(1-E4))</f>
        <v>0.67334716722803412</v>
      </c>
      <c r="G4" s="9"/>
      <c r="H4" s="1">
        <f>C4-E4</f>
        <v>-0.49000133312003458</v>
      </c>
      <c r="I4" s="1">
        <f>$H$12*H4*A4</f>
        <v>-0.49000133312003458</v>
      </c>
      <c r="J4" s="1">
        <f>$H$12*H4*B4</f>
        <v>9.8000266624006918E-2</v>
      </c>
      <c r="K4" s="1">
        <f>$H$12*H4</f>
        <v>-0.49000133312003458</v>
      </c>
      <c r="L4">
        <f t="shared" si="2"/>
        <v>0.30999866687996547</v>
      </c>
      <c r="M4">
        <f t="shared" si="3"/>
        <v>0.69800026662400694</v>
      </c>
      <c r="N4">
        <f t="shared" si="4"/>
        <v>-1.2100013331200346</v>
      </c>
    </row>
    <row r="5" spans="1:14" x14ac:dyDescent="0.2">
      <c r="A5" s="2">
        <v>1</v>
      </c>
      <c r="B5" s="1">
        <v>0.9</v>
      </c>
      <c r="C5" s="1">
        <v>1</v>
      </c>
      <c r="D5" s="1">
        <f t="shared" si="0"/>
        <v>0.62000000000000011</v>
      </c>
      <c r="E5" s="1">
        <f t="shared" si="1"/>
        <v>0.6502185485738271</v>
      </c>
      <c r="F5">
        <f>IF(C5,-LN(E5),-LN(1-E5))</f>
        <v>0.43044674402949601</v>
      </c>
      <c r="G5" s="9"/>
      <c r="H5" s="1">
        <f>C5-E5</f>
        <v>0.3497814514261729</v>
      </c>
      <c r="I5" s="1">
        <f>$H$12*H5*A5</f>
        <v>0.3497814514261729</v>
      </c>
      <c r="J5" s="1">
        <f>$H$12*H5*B5</f>
        <v>0.31480330628355563</v>
      </c>
      <c r="K5" s="1">
        <f>$H$12*H5</f>
        <v>0.3497814514261729</v>
      </c>
      <c r="L5">
        <f t="shared" si="2"/>
        <v>1.1497814514261728</v>
      </c>
      <c r="M5">
        <f t="shared" si="3"/>
        <v>0.91480330628355566</v>
      </c>
      <c r="N5">
        <f t="shared" si="4"/>
        <v>-0.37021854857382708</v>
      </c>
    </row>
    <row r="6" spans="1:14" x14ac:dyDescent="0.2">
      <c r="A6" s="2">
        <v>1</v>
      </c>
      <c r="B6" s="1">
        <v>0</v>
      </c>
      <c r="C6" s="1">
        <v>0</v>
      </c>
      <c r="D6" s="1">
        <f t="shared" si="0"/>
        <v>8.0000000000000071E-2</v>
      </c>
      <c r="E6" s="1">
        <f t="shared" si="1"/>
        <v>0.51998934015558185</v>
      </c>
      <c r="F6">
        <f>IF(C6,-LN(E6),-LN(1-E6))</f>
        <v>0.73394696731759013</v>
      </c>
      <c r="G6" s="9"/>
      <c r="H6" s="1">
        <f>C6-E6</f>
        <v>-0.51998934015558185</v>
      </c>
      <c r="I6" s="1">
        <f>$H$12*H6*A6</f>
        <v>-0.51998934015558185</v>
      </c>
      <c r="J6" s="1">
        <f>$H$12*H6*B6</f>
        <v>0</v>
      </c>
      <c r="K6" s="1">
        <f>$H$12*H6</f>
        <v>-0.51998934015558185</v>
      </c>
      <c r="L6">
        <f t="shared" si="2"/>
        <v>0.2800106598444182</v>
      </c>
      <c r="M6">
        <f t="shared" si="3"/>
        <v>0.6</v>
      </c>
      <c r="N6">
        <f t="shared" si="4"/>
        <v>-1.2399893401555819</v>
      </c>
    </row>
    <row r="7" spans="1:14" x14ac:dyDescent="0.2">
      <c r="A7" s="1">
        <v>0</v>
      </c>
      <c r="B7" s="1">
        <v>1.3</v>
      </c>
      <c r="C7" s="1">
        <v>0</v>
      </c>
      <c r="D7" s="1">
        <f t="shared" si="0"/>
        <v>6.0000000000000053E-2</v>
      </c>
      <c r="E7" s="1">
        <f t="shared" si="1"/>
        <v>0.5149955016194101</v>
      </c>
      <c r="F7">
        <f>IF(C7,-LN(E7),-LN(1-E7))</f>
        <v>0.72359711307614094</v>
      </c>
      <c r="G7" s="9"/>
      <c r="H7" s="1">
        <f>C7-E7</f>
        <v>-0.5149955016194101</v>
      </c>
      <c r="I7" s="1">
        <f>$H$12*H7*A7</f>
        <v>0</v>
      </c>
      <c r="J7" s="1">
        <f>$H$12*H7*B7</f>
        <v>-0.66949415210523311</v>
      </c>
      <c r="K7" s="1">
        <f>$H$12*H7</f>
        <v>-0.5149955016194101</v>
      </c>
      <c r="L7">
        <f t="shared" si="2"/>
        <v>0.8</v>
      </c>
      <c r="M7">
        <f t="shared" si="3"/>
        <v>-6.9494152105233131E-2</v>
      </c>
      <c r="N7">
        <f t="shared" si="4"/>
        <v>-1.2349955016194101</v>
      </c>
    </row>
    <row r="8" spans="1:14" x14ac:dyDescent="0.2">
      <c r="D8" s="4" t="s">
        <v>17</v>
      </c>
      <c r="F8" s="5">
        <f>AVERAGE(F2:F7)</f>
        <v>0.59881302337118314</v>
      </c>
      <c r="G8" s="9"/>
      <c r="K8" s="3" t="s">
        <v>13</v>
      </c>
      <c r="L8">
        <f>AVERAGE(L2:L7)</f>
        <v>0.68996512969175938</v>
      </c>
      <c r="M8">
        <f t="shared" ref="M8:O8" si="5">AVERAGE(M2:M7)</f>
        <v>0.47887891209448363</v>
      </c>
      <c r="N8">
        <f t="shared" si="5"/>
        <v>-1.0487722757727536</v>
      </c>
    </row>
    <row r="9" spans="1:14" x14ac:dyDescent="0.2">
      <c r="D9" s="4" t="s">
        <v>18</v>
      </c>
      <c r="G9" s="9"/>
    </row>
    <row r="12" spans="1:14" x14ac:dyDescent="0.2">
      <c r="E12" s="6" t="s">
        <v>15</v>
      </c>
      <c r="F12" s="6"/>
      <c r="G12" s="6" t="s">
        <v>9</v>
      </c>
      <c r="H12" s="6">
        <v>1</v>
      </c>
    </row>
    <row r="14" spans="1:14" x14ac:dyDescent="0.2">
      <c r="A14" s="4" t="s">
        <v>16</v>
      </c>
      <c r="B14" s="4"/>
      <c r="C14" s="4"/>
      <c r="D14" s="4"/>
    </row>
    <row r="15" spans="1:14" s="3" customFormat="1" ht="16" customHeight="1" x14ac:dyDescent="0.2">
      <c r="A15" s="7" t="s">
        <v>0</v>
      </c>
      <c r="B15" s="7" t="s">
        <v>1</v>
      </c>
      <c r="C15" s="7" t="s">
        <v>2</v>
      </c>
      <c r="D15" s="7" t="s">
        <v>4</v>
      </c>
      <c r="E15" s="7" t="s">
        <v>3</v>
      </c>
      <c r="F15" s="7" t="s">
        <v>14</v>
      </c>
      <c r="G15" s="9" t="s">
        <v>21</v>
      </c>
      <c r="I15" s="7"/>
      <c r="J15" s="7"/>
      <c r="K15" s="7"/>
      <c r="L15" s="7"/>
      <c r="M15" s="7"/>
    </row>
    <row r="16" spans="1:14" x14ac:dyDescent="0.2">
      <c r="A16" s="2">
        <v>0</v>
      </c>
      <c r="B16" s="1">
        <v>0</v>
      </c>
      <c r="C16" s="1">
        <v>0</v>
      </c>
      <c r="D16" s="1">
        <f>A16*$L$8+B16*$M$8+$N$8</f>
        <v>-1.0487722757727536</v>
      </c>
      <c r="E16" s="1">
        <f>1/(1+EXP(-D16))</f>
        <v>0.2594609272498507</v>
      </c>
      <c r="F16">
        <f>IF(C16=1,-LN(E16),-LN(1-E16))</f>
        <v>0.30037688130488227</v>
      </c>
      <c r="G16" s="9"/>
      <c r="I16" s="1"/>
      <c r="J16" s="1"/>
    </row>
    <row r="17" spans="1:10" x14ac:dyDescent="0.2">
      <c r="A17" s="2">
        <v>0</v>
      </c>
      <c r="B17" s="1">
        <v>1</v>
      </c>
      <c r="C17" s="1">
        <v>0</v>
      </c>
      <c r="D17" s="1">
        <f>A17*$L$8+B17*$M$8+$N$8</f>
        <v>-0.56989336367826993</v>
      </c>
      <c r="E17" s="1">
        <f t="shared" ref="E17:E22" si="6">1/(1+EXP(-D17))</f>
        <v>0.3612614309899646</v>
      </c>
      <c r="F17">
        <f>IF(C17=1,-LN(E17),-LN(1-E17))</f>
        <v>0.44826003349905602</v>
      </c>
      <c r="G17" s="9"/>
      <c r="I17" s="1"/>
      <c r="J17" s="1"/>
    </row>
    <row r="18" spans="1:10" x14ac:dyDescent="0.2">
      <c r="A18" s="2">
        <v>1</v>
      </c>
      <c r="B18" s="1">
        <v>-0.2</v>
      </c>
      <c r="C18" s="1">
        <v>0</v>
      </c>
      <c r="D18" s="1">
        <f>A18*$L$8+B18*$M$8+$N$8</f>
        <v>-0.4545829284998909</v>
      </c>
      <c r="E18" s="1">
        <f t="shared" si="6"/>
        <v>0.38827168786242167</v>
      </c>
      <c r="F18">
        <f>IF(C18=1,-LN(E18),-LN(1-E18))</f>
        <v>0.49146702945358839</v>
      </c>
      <c r="G18" s="9"/>
      <c r="I18" s="1"/>
      <c r="J18" s="1"/>
    </row>
    <row r="19" spans="1:10" x14ac:dyDescent="0.2">
      <c r="A19" s="2">
        <v>1</v>
      </c>
      <c r="B19" s="1">
        <v>0.9</v>
      </c>
      <c r="C19" s="1">
        <v>1</v>
      </c>
      <c r="D19" s="1">
        <f>A19*$L$8+B19*$M$8+$N$8</f>
        <v>7.2183874804041093E-2</v>
      </c>
      <c r="E19" s="1">
        <f t="shared" si="6"/>
        <v>0.51803813705396318</v>
      </c>
      <c r="F19">
        <f>IF(C19=1,-LN(E19),-LN(1-E19))</f>
        <v>0.65770641577644284</v>
      </c>
      <c r="G19" s="9"/>
      <c r="I19" s="1"/>
      <c r="J19" s="1"/>
    </row>
    <row r="20" spans="1:10" x14ac:dyDescent="0.2">
      <c r="A20" s="2">
        <v>1</v>
      </c>
      <c r="B20" s="1">
        <v>0</v>
      </c>
      <c r="C20" s="1">
        <v>0</v>
      </c>
      <c r="D20" s="1">
        <f>A20*$L$8+B20*$M$8+$N$8</f>
        <v>-0.35880714608099418</v>
      </c>
      <c r="E20" s="1">
        <f t="shared" si="6"/>
        <v>0.41124835287642264</v>
      </c>
      <c r="F20">
        <f>IF(C20=1,-LN(E20),-LN(1-E20))</f>
        <v>0.52975083599329575</v>
      </c>
      <c r="G20" s="9"/>
      <c r="I20" s="1"/>
      <c r="J20" s="1"/>
    </row>
    <row r="21" spans="1:10" x14ac:dyDescent="0.2">
      <c r="A21" s="1">
        <v>0</v>
      </c>
      <c r="B21" s="1">
        <v>1.3</v>
      </c>
      <c r="C21" s="1">
        <v>0</v>
      </c>
      <c r="D21" s="1">
        <f>A21*$L$8+B21*$M$8+$N$8</f>
        <v>-0.42622969004992484</v>
      </c>
      <c r="E21" s="1">
        <f t="shared" si="6"/>
        <v>0.395027005231391</v>
      </c>
      <c r="F21">
        <f>IF(C21=1,-LN(E21),-LN(1-E21))</f>
        <v>0.50257145869364561</v>
      </c>
      <c r="G21" s="9"/>
      <c r="I21" s="1"/>
      <c r="J21" s="1"/>
    </row>
    <row r="22" spans="1:10" x14ac:dyDescent="0.2">
      <c r="A22" s="2"/>
      <c r="B22" s="1"/>
      <c r="D22" s="1">
        <f>A22*$L$8+B22*$M$8+$N$8</f>
        <v>-1.0487722757727536</v>
      </c>
      <c r="E22" s="1">
        <f t="shared" si="6"/>
        <v>0.2594609272498507</v>
      </c>
      <c r="F22" s="5">
        <f t="shared" ref="F22" si="7">AVERAGE(F16:F21)</f>
        <v>0.48835544245348511</v>
      </c>
      <c r="G22" s="9"/>
      <c r="J22" s="8"/>
    </row>
    <row r="23" spans="1:10" x14ac:dyDescent="0.2">
      <c r="F23" s="5" t="s">
        <v>20</v>
      </c>
      <c r="G23" s="9"/>
    </row>
  </sheetData>
  <mergeCells count="2">
    <mergeCell ref="G1:G9"/>
    <mergeCell ref="G15:G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Olcay Kursun</dc:creator>
  <cp:lastModifiedBy>Olcay Kursun</cp:lastModifiedBy>
  <dcterms:created xsi:type="dcterms:W3CDTF">2023-10-30T17:53:30Z</dcterms:created>
  <dcterms:modified xsi:type="dcterms:W3CDTF">2026-02-09T05:24:16Z</dcterms:modified>
</cp:coreProperties>
</file>